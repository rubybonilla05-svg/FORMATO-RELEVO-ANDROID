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0a9d472c920fb3/Documentos/"/>
    </mc:Choice>
  </mc:AlternateContent>
  <xr:revisionPtr revIDLastSave="0" documentId="8_{AE389DA6-2B17-4C19-BA77-947B65302088}" xr6:coauthVersionLast="47" xr6:coauthVersionMax="47" xr10:uidLastSave="{00000000-0000-0000-0000-000000000000}"/>
  <bookViews>
    <workbookView xWindow="-120" yWindow="-120" windowWidth="21840" windowHeight="13020" xr2:uid="{62C57DC5-3538-4366-9F8E-5D0BBEC602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8" i="1" l="1"/>
  <c r="H40" i="1"/>
  <c r="C25" i="1" s="1"/>
  <c r="F40" i="1"/>
  <c r="D37" i="1"/>
  <c r="C37" i="1"/>
  <c r="B37" i="1"/>
  <c r="H30" i="1"/>
  <c r="F30" i="1"/>
  <c r="B40" i="1" s="1"/>
  <c r="H13" i="1"/>
  <c r="H14" i="1" s="1"/>
  <c r="G13" i="1"/>
  <c r="G14" i="1" s="1"/>
  <c r="G15" i="1" s="1"/>
  <c r="F13" i="1"/>
  <c r="F14" i="1" s="1"/>
  <c r="E13" i="1"/>
  <c r="E14" i="1" s="1"/>
  <c r="E15" i="1" s="1"/>
  <c r="E16" i="1" s="1"/>
  <c r="D13" i="1"/>
  <c r="D14" i="1" s="1"/>
  <c r="C13" i="1"/>
  <c r="C14" i="1" s="1"/>
  <c r="C15" i="1" s="1"/>
  <c r="B13" i="1"/>
  <c r="D18" i="1" s="1"/>
  <c r="D22" i="1" s="1"/>
  <c r="A13" i="1"/>
  <c r="D19" i="1" s="1"/>
  <c r="D23" i="1" s="1"/>
  <c r="H5" i="1"/>
  <c r="H7" i="1" s="1"/>
  <c r="G5" i="1"/>
  <c r="G7" i="1" s="1"/>
  <c r="G8" i="1" s="1"/>
  <c r="F5" i="1"/>
  <c r="F7" i="1" s="1"/>
  <c r="E5" i="1"/>
  <c r="E7" i="1" s="1"/>
  <c r="E8" i="1" s="1"/>
  <c r="E9" i="1" s="1"/>
  <c r="D5" i="1"/>
  <c r="D7" i="1" s="1"/>
  <c r="C5" i="1"/>
  <c r="C7" i="1" s="1"/>
  <c r="C8" i="1" s="1"/>
  <c r="B5" i="1"/>
  <c r="B7" i="1" s="1"/>
  <c r="A5" i="1"/>
  <c r="B19" i="1" s="1"/>
  <c r="B18" i="1" l="1"/>
  <c r="B22" i="1" s="1"/>
  <c r="B39" i="1"/>
  <c r="B23" i="1"/>
  <c r="F19" i="1"/>
  <c r="G19" i="1" s="1"/>
  <c r="B24" i="1"/>
  <c r="A27" i="1" s="1"/>
  <c r="D24" i="1"/>
  <c r="B41" i="1"/>
  <c r="C48" i="1"/>
  <c r="A7" i="1"/>
  <c r="A8" i="1" s="1"/>
  <c r="A9" i="1" s="1"/>
  <c r="A14" i="1"/>
  <c r="F18" i="1"/>
  <c r="G18" i="1" s="1"/>
  <c r="B14" i="1"/>
  <c r="H18" i="1" l="1"/>
  <c r="A15" i="1"/>
  <c r="A16" i="1" s="1"/>
  <c r="B38" i="1"/>
</calcChain>
</file>

<file path=xl/sharedStrings.xml><?xml version="1.0" encoding="utf-8"?>
<sst xmlns="http://schemas.openxmlformats.org/spreadsheetml/2006/main" count="43" uniqueCount="29">
  <si>
    <t xml:space="preserve">RELEVO 19 DE JULIO  DE 2026  TURNO 7AM  7PM  </t>
  </si>
  <si>
    <t>DISPENSADOR 1</t>
  </si>
  <si>
    <t>DISPENSADOR 2</t>
  </si>
  <si>
    <t>DISPENSADOR  1</t>
  </si>
  <si>
    <t>DIGITAL</t>
  </si>
  <si>
    <t xml:space="preserve">MECANICA </t>
  </si>
  <si>
    <t>DIFERENCIA MECANICA &amp; DIGITAL</t>
  </si>
  <si>
    <t>A.C.P.M</t>
  </si>
  <si>
    <t>GASOLINA</t>
  </si>
  <si>
    <t>VALOR EN DINERO</t>
  </si>
  <si>
    <t xml:space="preserve">CREDITOS </t>
  </si>
  <si>
    <t>ISLERO 1</t>
  </si>
  <si>
    <t xml:space="preserve">ISLERO 2 </t>
  </si>
  <si>
    <t xml:space="preserve">TOTAL </t>
  </si>
  <si>
    <t xml:space="preserve">LUBRICANTES </t>
  </si>
  <si>
    <t xml:space="preserve">VENTA TOTAL </t>
  </si>
  <si>
    <t xml:space="preserve">PAGOS O ABONOS </t>
  </si>
  <si>
    <t xml:space="preserve">ENTREGAS DIARIAS </t>
  </si>
  <si>
    <t>TOTAL</t>
  </si>
  <si>
    <t>LUBRICANTES</t>
  </si>
  <si>
    <t>EFECTIVO</t>
  </si>
  <si>
    <t xml:space="preserve">CREDITO </t>
  </si>
  <si>
    <t xml:space="preserve"> </t>
  </si>
  <si>
    <t xml:space="preserve">TOTAL VENTAS </t>
  </si>
  <si>
    <t xml:space="preserve">DIFERENCIA </t>
  </si>
  <si>
    <t xml:space="preserve">GASTOS </t>
  </si>
  <si>
    <t>PAGOS DE TARJETA</t>
  </si>
  <si>
    <t xml:space="preserve">CAJA </t>
  </si>
  <si>
    <t>TOTAL SALIDAS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</si>
</sst>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#,##0\ _€"/>
    <numFmt numFmtId="166" formatCode="0.0000"/>
    <numFmt numFmtId="167" formatCode="#,##0.000"/>
    <numFmt numFmtId="168" formatCode="#,##0.000\ _€"/>
    <numFmt numFmtId="169" formatCode="[$$-240A]\ #,##0"/>
    <numFmt numFmtId="170" formatCode="[$$-240A]#,##0"/>
    <numFmt numFmtId="171" formatCode="&quot;$&quot;\ #,##0"/>
  </numFmts>
  <fonts count="21" x14ac:knownFonts="1">
    <font>
      <sz val="11"/>
      <color theme="1"/>
      <name val="Calibri"/>
      <family val="2"/>
      <scheme val="minor"/>
    </font>
    <font>
      <b/>
      <sz val="14"/>
      <name val="Franklin Gothic Heavy"/>
      <family val="2"/>
    </font>
    <font>
      <b/>
      <sz val="10"/>
      <name val="Franklin Gothic Demi Cond"/>
      <family val="2"/>
    </font>
    <font>
      <sz val="10"/>
      <name val="Franklin Gothic Book"/>
      <family val="2"/>
    </font>
    <font>
      <b/>
      <sz val="9"/>
      <name val="Franklin Gothic Book"/>
      <family val="2"/>
    </font>
    <font>
      <b/>
      <sz val="10"/>
      <name val="Franklin Gothic Book"/>
      <family val="2"/>
    </font>
    <font>
      <sz val="11"/>
      <name val="Calibri"/>
      <family val="2"/>
      <scheme val="minor"/>
    </font>
    <font>
      <sz val="10"/>
      <color theme="1"/>
      <name val="Franklin Gothic Book"/>
      <family val="2"/>
    </font>
    <font>
      <sz val="9"/>
      <color theme="1"/>
      <name val="Franklin Gothic Book"/>
      <family val="2"/>
    </font>
    <font>
      <b/>
      <sz val="10"/>
      <color theme="1"/>
      <name val="Franklin Gothic Book"/>
      <family val="2"/>
    </font>
    <font>
      <b/>
      <sz val="9"/>
      <color theme="1"/>
      <name val="Franklin Gothic Book"/>
      <family val="2"/>
    </font>
    <font>
      <b/>
      <sz val="10"/>
      <color theme="1"/>
      <name val="Franklin Gothic Demi Cond"/>
      <family val="2"/>
    </font>
    <font>
      <sz val="9"/>
      <name val="Franklin Gothic Book"/>
      <family val="2"/>
    </font>
    <font>
      <b/>
      <sz val="11"/>
      <color theme="1"/>
      <name val="Franklin Gothic Demi Cond"/>
      <family val="2"/>
    </font>
    <font>
      <b/>
      <sz val="11"/>
      <color theme="1"/>
      <name val="Franklin Gothic Book"/>
      <family val="2"/>
    </font>
    <font>
      <sz val="10"/>
      <color theme="1"/>
      <name val="Calibri"/>
      <family val="2"/>
      <scheme val="minor"/>
    </font>
    <font>
      <sz val="8"/>
      <color theme="1"/>
      <name val="Franklin Gothic Book"/>
      <family val="2"/>
    </font>
    <font>
      <sz val="8"/>
      <name val="Franklin Gothic Book"/>
      <family val="2"/>
    </font>
    <font>
      <sz val="10"/>
      <name val="Franklin Gothic Demi Cond"/>
      <family val="2"/>
    </font>
    <font>
      <sz val="11"/>
      <name val="Franklin Gothic Book"/>
      <family val="2"/>
    </font>
    <font>
      <b/>
      <sz val="11"/>
      <name val="Franklin Gothic Demi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4" fillId="3" borderId="7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165" fontId="5" fillId="0" borderId="14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5" fillId="3" borderId="7" xfId="0" applyNumberFormat="1" applyFont="1" applyFill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65" fontId="5" fillId="0" borderId="15" xfId="0" applyNumberFormat="1" applyFont="1" applyBorder="1" applyAlignment="1">
      <alignment horizontal="center"/>
    </xf>
    <xf numFmtId="165" fontId="5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7" fontId="6" fillId="0" borderId="9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168" fontId="3" fillId="0" borderId="9" xfId="0" applyNumberFormat="1" applyFont="1" applyBorder="1" applyAlignment="1">
      <alignment horizontal="right"/>
    </xf>
    <xf numFmtId="167" fontId="3" fillId="0" borderId="9" xfId="0" applyNumberFormat="1" applyFont="1" applyBorder="1" applyAlignment="1">
      <alignment horizontal="right" vertical="center"/>
    </xf>
    <xf numFmtId="169" fontId="5" fillId="0" borderId="9" xfId="0" applyNumberFormat="1" applyFont="1" applyBorder="1" applyAlignment="1">
      <alignment horizontal="center"/>
    </xf>
    <xf numFmtId="169" fontId="5" fillId="0" borderId="1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167" fontId="6" fillId="0" borderId="21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center"/>
    </xf>
    <xf numFmtId="168" fontId="3" fillId="0" borderId="21" xfId="0" applyNumberFormat="1" applyFont="1" applyBorder="1" applyAlignment="1">
      <alignment horizontal="right"/>
    </xf>
    <xf numFmtId="167" fontId="3" fillId="0" borderId="21" xfId="0" applyNumberFormat="1" applyFont="1" applyBorder="1" applyAlignment="1">
      <alignment horizontal="right" vertical="center"/>
    </xf>
    <xf numFmtId="169" fontId="5" fillId="0" borderId="21" xfId="0" applyNumberFormat="1" applyFont="1" applyBorder="1" applyAlignment="1">
      <alignment horizontal="center"/>
    </xf>
    <xf numFmtId="169" fontId="5" fillId="0" borderId="22" xfId="0" applyNumberFormat="1" applyFont="1" applyBorder="1" applyAlignment="1">
      <alignment horizontal="center" vertical="center"/>
    </xf>
    <xf numFmtId="0" fontId="3" fillId="0" borderId="23" xfId="0" applyFont="1" applyBorder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169" fontId="8" fillId="0" borderId="25" xfId="0" applyNumberFormat="1" applyFont="1" applyBorder="1" applyAlignment="1">
      <alignment horizontal="right"/>
    </xf>
    <xf numFmtId="0" fontId="7" fillId="0" borderId="26" xfId="0" applyFont="1" applyBorder="1" applyAlignment="1">
      <alignment horizontal="center" vertical="center" wrapText="1"/>
    </xf>
    <xf numFmtId="169" fontId="7" fillId="0" borderId="27" xfId="0" applyNumberFormat="1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/>
    </xf>
    <xf numFmtId="169" fontId="8" fillId="0" borderId="10" xfId="0" applyNumberFormat="1" applyFont="1" applyBorder="1"/>
    <xf numFmtId="0" fontId="7" fillId="0" borderId="7" xfId="0" applyFont="1" applyBorder="1" applyAlignment="1">
      <alignment horizontal="center" vertical="center" wrapText="1"/>
    </xf>
    <xf numFmtId="169" fontId="7" fillId="0" borderId="28" xfId="0" applyNumberFormat="1" applyFont="1" applyBorder="1" applyAlignment="1">
      <alignment horizontal="right" vertical="center" wrapText="1"/>
    </xf>
    <xf numFmtId="16" fontId="3" fillId="0" borderId="26" xfId="0" applyNumberFormat="1" applyFont="1" applyBorder="1"/>
    <xf numFmtId="170" fontId="3" fillId="3" borderId="27" xfId="0" applyNumberFormat="1" applyFont="1" applyFill="1" applyBorder="1"/>
    <xf numFmtId="0" fontId="0" fillId="3" borderId="26" xfId="0" applyFill="1" applyBorder="1"/>
    <xf numFmtId="170" fontId="7" fillId="3" borderId="27" xfId="0" applyNumberFormat="1" applyFont="1" applyFill="1" applyBorder="1"/>
    <xf numFmtId="0" fontId="9" fillId="0" borderId="29" xfId="0" applyFont="1" applyBorder="1" applyAlignment="1">
      <alignment horizontal="center" vertical="center"/>
    </xf>
    <xf numFmtId="169" fontId="10" fillId="0" borderId="19" xfId="0" applyNumberFormat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169" fontId="10" fillId="0" borderId="13" xfId="0" applyNumberFormat="1" applyFont="1" applyBorder="1" applyAlignment="1">
      <alignment vertical="center"/>
    </xf>
    <xf numFmtId="170" fontId="7" fillId="0" borderId="30" xfId="0" applyNumberFormat="1" applyFont="1" applyBorder="1"/>
    <xf numFmtId="170" fontId="3" fillId="3" borderId="25" xfId="0" applyNumberFormat="1" applyFont="1" applyFill="1" applyBorder="1"/>
    <xf numFmtId="170" fontId="8" fillId="3" borderId="25" xfId="0" applyNumberFormat="1" applyFont="1" applyFill="1" applyBorder="1"/>
    <xf numFmtId="0" fontId="11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170" fontId="9" fillId="2" borderId="1" xfId="0" applyNumberFormat="1" applyFont="1" applyFill="1" applyBorder="1" applyAlignment="1">
      <alignment horizontal="center" vertical="center"/>
    </xf>
    <xf numFmtId="170" fontId="9" fillId="2" borderId="3" xfId="0" applyNumberFormat="1" applyFont="1" applyFill="1" applyBorder="1" applyAlignment="1">
      <alignment horizontal="center" vertical="center"/>
    </xf>
    <xf numFmtId="0" fontId="3" fillId="0" borderId="7" xfId="0" applyFont="1" applyBorder="1"/>
    <xf numFmtId="0" fontId="12" fillId="3" borderId="7" xfId="0" applyFont="1" applyFill="1" applyBorder="1"/>
    <xf numFmtId="0" fontId="13" fillId="5" borderId="31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13" fillId="5" borderId="33" xfId="0" applyFont="1" applyFill="1" applyBorder="1" applyAlignment="1">
      <alignment horizontal="center" vertical="center"/>
    </xf>
    <xf numFmtId="0" fontId="3" fillId="3" borderId="7" xfId="0" applyFont="1" applyFill="1" applyBorder="1"/>
    <xf numFmtId="170" fontId="8" fillId="3" borderId="7" xfId="0" applyNumberFormat="1" applyFont="1" applyFill="1" applyBorder="1"/>
    <xf numFmtId="169" fontId="14" fillId="5" borderId="34" xfId="0" applyNumberFormat="1" applyFont="1" applyFill="1" applyBorder="1" applyAlignment="1">
      <alignment horizontal="center" vertical="center"/>
    </xf>
    <xf numFmtId="169" fontId="14" fillId="5" borderId="35" xfId="0" applyNumberFormat="1" applyFont="1" applyFill="1" applyBorder="1" applyAlignment="1">
      <alignment horizontal="center" vertical="center"/>
    </xf>
    <xf numFmtId="169" fontId="14" fillId="5" borderId="36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70" fontId="7" fillId="3" borderId="25" xfId="0" applyNumberFormat="1" applyFont="1" applyFill="1" applyBorder="1"/>
    <xf numFmtId="170" fontId="3" fillId="3" borderId="10" xfId="0" applyNumberFormat="1" applyFont="1" applyFill="1" applyBorder="1"/>
    <xf numFmtId="0" fontId="11" fillId="0" borderId="31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3" fillId="3" borderId="24" xfId="0" applyFont="1" applyFill="1" applyBorder="1"/>
    <xf numFmtId="0" fontId="11" fillId="0" borderId="34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5" fillId="3" borderId="20" xfId="0" applyFont="1" applyFill="1" applyBorder="1"/>
    <xf numFmtId="171" fontId="0" fillId="3" borderId="38" xfId="0" applyNumberFormat="1" applyFill="1" applyBorder="1"/>
    <xf numFmtId="0" fontId="0" fillId="3" borderId="20" xfId="0" applyFill="1" applyBorder="1"/>
    <xf numFmtId="0" fontId="0" fillId="0" borderId="38" xfId="0" applyBorder="1"/>
    <xf numFmtId="0" fontId="7" fillId="0" borderId="26" xfId="0" applyFont="1" applyBorder="1" applyAlignment="1">
      <alignment horizontal="center"/>
    </xf>
    <xf numFmtId="170" fontId="3" fillId="0" borderId="18" xfId="0" applyNumberFormat="1" applyFont="1" applyBorder="1" applyAlignment="1">
      <alignment horizontal="center" vertical="center"/>
    </xf>
    <xf numFmtId="170" fontId="3" fillId="0" borderId="39" xfId="0" applyNumberFormat="1" applyFont="1" applyBorder="1"/>
    <xf numFmtId="0" fontId="5" fillId="2" borderId="40" xfId="0" applyFont="1" applyFill="1" applyBorder="1" applyAlignment="1">
      <alignment horizontal="center" vertical="center"/>
    </xf>
    <xf numFmtId="170" fontId="5" fillId="2" borderId="41" xfId="0" applyNumberFormat="1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170" fontId="5" fillId="2" borderId="22" xfId="0" applyNumberFormat="1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70" fontId="3" fillId="0" borderId="28" xfId="0" applyNumberFormat="1" applyFont="1" applyBorder="1" applyAlignment="1">
      <alignment horizontal="center" vertical="center"/>
    </xf>
    <xf numFmtId="170" fontId="3" fillId="0" borderId="8" xfId="0" applyNumberFormat="1" applyFont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70" fontId="12" fillId="0" borderId="0" xfId="0" applyNumberFormat="1" applyFont="1" applyAlignment="1">
      <alignment horizontal="center"/>
    </xf>
    <xf numFmtId="170" fontId="12" fillId="3" borderId="8" xfId="0" applyNumberFormat="1" applyFont="1" applyFill="1" applyBorder="1"/>
    <xf numFmtId="170" fontId="3" fillId="3" borderId="42" xfId="0" applyNumberFormat="1" applyFont="1" applyFill="1" applyBorder="1"/>
    <xf numFmtId="170" fontId="12" fillId="0" borderId="28" xfId="0" applyNumberFormat="1" applyFont="1" applyBorder="1" applyAlignment="1">
      <alignment horizontal="center"/>
    </xf>
    <xf numFmtId="16" fontId="12" fillId="3" borderId="39" xfId="0" applyNumberFormat="1" applyFont="1" applyFill="1" applyBorder="1"/>
    <xf numFmtId="170" fontId="12" fillId="0" borderId="28" xfId="0" applyNumberFormat="1" applyFont="1" applyBorder="1" applyAlignment="1">
      <alignment horizontal="right"/>
    </xf>
    <xf numFmtId="169" fontId="17" fillId="0" borderId="39" xfId="0" applyNumberFormat="1" applyFont="1" applyBorder="1"/>
    <xf numFmtId="16" fontId="12" fillId="3" borderId="8" xfId="0" applyNumberFormat="1" applyFont="1" applyFill="1" applyBorder="1"/>
    <xf numFmtId="0" fontId="7" fillId="0" borderId="7" xfId="0" applyFont="1" applyBorder="1"/>
    <xf numFmtId="170" fontId="3" fillId="0" borderId="28" xfId="0" applyNumberFormat="1" applyFont="1" applyBorder="1" applyAlignment="1">
      <alignment horizontal="right"/>
    </xf>
    <xf numFmtId="169" fontId="3" fillId="0" borderId="39" xfId="0" applyNumberFormat="1" applyFont="1" applyBorder="1"/>
    <xf numFmtId="170" fontId="3" fillId="0" borderId="8" xfId="0" applyNumberFormat="1" applyFont="1" applyBorder="1" applyAlignment="1">
      <alignment vertical="center" wrapText="1"/>
    </xf>
    <xf numFmtId="0" fontId="12" fillId="3" borderId="8" xfId="0" applyFont="1" applyFill="1" applyBorder="1"/>
    <xf numFmtId="170" fontId="12" fillId="0" borderId="39" xfId="0" applyNumberFormat="1" applyFont="1" applyBorder="1"/>
    <xf numFmtId="0" fontId="10" fillId="2" borderId="43" xfId="0" applyFont="1" applyFill="1" applyBorder="1" applyAlignment="1">
      <alignment horizontal="center" vertical="center"/>
    </xf>
    <xf numFmtId="170" fontId="10" fillId="2" borderId="2" xfId="0" applyNumberFormat="1" applyFont="1" applyFill="1" applyBorder="1" applyAlignment="1">
      <alignment horizontal="center" vertical="center"/>
    </xf>
    <xf numFmtId="170" fontId="9" fillId="2" borderId="43" xfId="0" applyNumberFormat="1" applyFont="1" applyFill="1" applyBorder="1" applyAlignment="1">
      <alignment horizontal="center" vertical="center" wrapText="1"/>
    </xf>
    <xf numFmtId="170" fontId="9" fillId="2" borderId="2" xfId="0" applyNumberFormat="1" applyFont="1" applyFill="1" applyBorder="1" applyAlignment="1">
      <alignment horizontal="center" vertical="center" wrapText="1"/>
    </xf>
    <xf numFmtId="0" fontId="3" fillId="3" borderId="44" xfId="0" applyFont="1" applyFill="1" applyBorder="1"/>
    <xf numFmtId="170" fontId="9" fillId="0" borderId="1" xfId="0" applyNumberFormat="1" applyFont="1" applyBorder="1" applyAlignment="1">
      <alignment vertical="center"/>
    </xf>
    <xf numFmtId="170" fontId="9" fillId="0" borderId="2" xfId="0" applyNumberFormat="1" applyFont="1" applyBorder="1" applyAlignment="1">
      <alignment vertical="center"/>
    </xf>
    <xf numFmtId="169" fontId="9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169" fontId="3" fillId="3" borderId="39" xfId="0" applyNumberFormat="1" applyFont="1" applyFill="1" applyBorder="1"/>
    <xf numFmtId="170" fontId="3" fillId="3" borderId="44" xfId="0" applyNumberFormat="1" applyFont="1" applyFill="1" applyBorder="1"/>
    <xf numFmtId="0" fontId="9" fillId="0" borderId="26" xfId="0" applyFont="1" applyBorder="1"/>
    <xf numFmtId="170" fontId="9" fillId="0" borderId="27" xfId="0" applyNumberFormat="1" applyFont="1" applyBorder="1" applyAlignment="1">
      <alignment horizontal="center"/>
    </xf>
    <xf numFmtId="170" fontId="12" fillId="3" borderId="42" xfId="0" applyNumberFormat="1" applyFont="1" applyFill="1" applyBorder="1"/>
    <xf numFmtId="3" fontId="3" fillId="0" borderId="45" xfId="0" applyNumberFormat="1" applyFont="1" applyBorder="1"/>
    <xf numFmtId="170" fontId="3" fillId="3" borderId="45" xfId="0" applyNumberFormat="1" applyFont="1" applyFill="1" applyBorder="1"/>
    <xf numFmtId="0" fontId="3" fillId="0" borderId="46" xfId="0" applyFont="1" applyBorder="1"/>
    <xf numFmtId="170" fontId="3" fillId="0" borderId="45" xfId="0" applyNumberFormat="1" applyFont="1" applyBorder="1"/>
    <xf numFmtId="0" fontId="9" fillId="0" borderId="20" xfId="0" applyFont="1" applyBorder="1"/>
    <xf numFmtId="170" fontId="9" fillId="0" borderId="38" xfId="0" applyNumberFormat="1" applyFont="1" applyBorder="1" applyAlignment="1">
      <alignment horizontal="center"/>
    </xf>
    <xf numFmtId="170" fontId="12" fillId="3" borderId="45" xfId="0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170" fontId="5" fillId="2" borderId="43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0" fillId="5" borderId="40" xfId="0" applyFont="1" applyFill="1" applyBorder="1"/>
    <xf numFmtId="170" fontId="9" fillId="5" borderId="22" xfId="0" applyNumberFormat="1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5" fillId="6" borderId="3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170" fontId="5" fillId="0" borderId="0" xfId="0" applyNumberFormat="1" applyFont="1" applyAlignment="1">
      <alignment horizontal="center" vertical="center"/>
    </xf>
    <xf numFmtId="170" fontId="5" fillId="6" borderId="34" xfId="0" applyNumberFormat="1" applyFont="1" applyFill="1" applyBorder="1"/>
    <xf numFmtId="170" fontId="5" fillId="6" borderId="36" xfId="0" applyNumberFormat="1" applyFont="1" applyFill="1" applyBorder="1"/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70" fontId="3" fillId="0" borderId="4" xfId="0" applyNumberFormat="1" applyFont="1" applyBorder="1" applyAlignment="1">
      <alignment horizontal="center" vertical="center"/>
    </xf>
    <xf numFmtId="170" fontId="3" fillId="0" borderId="6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/>
    </xf>
    <xf numFmtId="169" fontId="18" fillId="0" borderId="3" xfId="0" applyNumberFormat="1" applyFont="1" applyBorder="1" applyAlignment="1">
      <alignment horizontal="center" vertical="center"/>
    </xf>
    <xf numFmtId="169" fontId="12" fillId="0" borderId="31" xfId="0" applyNumberFormat="1" applyFont="1" applyBorder="1" applyAlignment="1">
      <alignment horizontal="center" vertical="center" wrapText="1"/>
    </xf>
    <xf numFmtId="169" fontId="12" fillId="0" borderId="33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170" fontId="3" fillId="0" borderId="48" xfId="0" applyNumberFormat="1" applyFont="1" applyBorder="1" applyAlignment="1">
      <alignment horizontal="center" vertical="center"/>
    </xf>
    <xf numFmtId="170" fontId="3" fillId="0" borderId="49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170" fontId="5" fillId="0" borderId="27" xfId="0" applyNumberFormat="1" applyFont="1" applyBorder="1" applyAlignment="1">
      <alignment horizontal="center"/>
    </xf>
    <xf numFmtId="169" fontId="12" fillId="0" borderId="23" xfId="0" applyNumberFormat="1" applyFont="1" applyBorder="1" applyAlignment="1">
      <alignment horizontal="center" vertical="center" wrapText="1"/>
    </xf>
    <xf numFmtId="169" fontId="12" fillId="0" borderId="50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70" fontId="3" fillId="0" borderId="30" xfId="0" applyNumberFormat="1" applyFont="1" applyBorder="1" applyAlignment="1">
      <alignment horizontal="center" vertical="center"/>
    </xf>
    <xf numFmtId="170" fontId="3" fillId="0" borderId="47" xfId="0" applyNumberFormat="1" applyFont="1" applyBorder="1" applyAlignment="1">
      <alignment horizontal="center" vertical="center"/>
    </xf>
    <xf numFmtId="0" fontId="5" fillId="0" borderId="7" xfId="0" applyFont="1" applyBorder="1"/>
    <xf numFmtId="170" fontId="5" fillId="0" borderId="10" xfId="0" applyNumberFormat="1" applyFont="1" applyBorder="1"/>
    <xf numFmtId="169" fontId="12" fillId="3" borderId="48" xfId="0" applyNumberFormat="1" applyFont="1" applyFill="1" applyBorder="1" applyAlignment="1">
      <alignment vertical="center"/>
    </xf>
    <xf numFmtId="169" fontId="12" fillId="3" borderId="49" xfId="0" applyNumberFormat="1" applyFont="1" applyFill="1" applyBorder="1" applyAlignment="1">
      <alignment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5" fillId="0" borderId="20" xfId="0" applyFont="1" applyBorder="1"/>
    <xf numFmtId="170" fontId="5" fillId="0" borderId="38" xfId="0" applyNumberFormat="1" applyFont="1" applyBorder="1"/>
    <xf numFmtId="170" fontId="5" fillId="0" borderId="11" xfId="0" applyNumberFormat="1" applyFont="1" applyBorder="1" applyAlignment="1">
      <alignment horizontal="center"/>
    </xf>
    <xf numFmtId="170" fontId="5" fillId="0" borderId="14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70" fontId="17" fillId="0" borderId="11" xfId="0" applyNumberFormat="1" applyFont="1" applyBorder="1" applyAlignment="1">
      <alignment horizontal="center"/>
    </xf>
    <xf numFmtId="170" fontId="17" fillId="0" borderId="14" xfId="0" applyNumberFormat="1" applyFont="1" applyBorder="1" applyAlignment="1">
      <alignment horizontal="center"/>
    </xf>
    <xf numFmtId="170" fontId="3" fillId="0" borderId="11" xfId="0" applyNumberFormat="1" applyFont="1" applyBorder="1" applyAlignment="1">
      <alignment horizontal="center"/>
    </xf>
    <xf numFmtId="170" fontId="3" fillId="0" borderId="14" xfId="0" applyNumberFormat="1" applyFont="1" applyBorder="1" applyAlignment="1">
      <alignment horizontal="center"/>
    </xf>
    <xf numFmtId="0" fontId="20" fillId="5" borderId="31" xfId="0" applyFont="1" applyFill="1" applyBorder="1" applyAlignment="1">
      <alignment horizontal="center" vertical="center"/>
    </xf>
    <xf numFmtId="0" fontId="20" fillId="5" borderId="33" xfId="0" applyFont="1" applyFill="1" applyBorder="1" applyAlignment="1">
      <alignment horizontal="center" vertical="center"/>
    </xf>
    <xf numFmtId="3" fontId="20" fillId="5" borderId="31" xfId="0" applyNumberFormat="1" applyFont="1" applyFill="1" applyBorder="1" applyAlignment="1">
      <alignment horizontal="center" vertical="center"/>
    </xf>
    <xf numFmtId="3" fontId="20" fillId="5" borderId="33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3" fontId="2" fillId="2" borderId="31" xfId="0" applyNumberFormat="1" applyFont="1" applyFill="1" applyBorder="1" applyAlignment="1">
      <alignment horizontal="center" vertical="center"/>
    </xf>
    <xf numFmtId="3" fontId="2" fillId="2" borderId="33" xfId="0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0" fontId="20" fillId="5" borderId="36" xfId="0" applyFont="1" applyFill="1" applyBorder="1" applyAlignment="1">
      <alignment horizontal="center" vertical="center"/>
    </xf>
    <xf numFmtId="3" fontId="20" fillId="5" borderId="34" xfId="0" applyNumberFormat="1" applyFont="1" applyFill="1" applyBorder="1" applyAlignment="1">
      <alignment horizontal="center" vertical="center"/>
    </xf>
    <xf numFmtId="3" fontId="20" fillId="5" borderId="36" xfId="0" applyNumberFormat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3" fontId="2" fillId="2" borderId="34" xfId="0" applyNumberFormat="1" applyFont="1" applyFill="1" applyBorder="1" applyAlignment="1">
      <alignment horizontal="center" vertical="center"/>
    </xf>
    <xf numFmtId="3" fontId="2" fillId="2" borderId="3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DBEF-6117-4DE5-8A6D-4FF50A6A8EF4}">
  <dimension ref="A1:H49"/>
  <sheetViews>
    <sheetView tabSelected="1" view="pageLayout" zoomScaleNormal="100" workbookViewId="0">
      <selection activeCell="A11" sqref="A11:H12"/>
    </sheetView>
  </sheetViews>
  <sheetFormatPr baseColWidth="10" defaultRowHeight="15" x14ac:dyDescent="0.25"/>
  <cols>
    <col min="1" max="8" width="13.42578125" customWidth="1"/>
  </cols>
  <sheetData>
    <row r="1" spans="1:8" ht="20.25" thickBot="1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4" t="s">
        <v>1</v>
      </c>
      <c r="B2" s="5"/>
      <c r="C2" s="5"/>
      <c r="D2" s="6"/>
      <c r="E2" s="4" t="s">
        <v>2</v>
      </c>
      <c r="F2" s="5"/>
      <c r="G2" s="5"/>
      <c r="H2" s="6"/>
    </row>
    <row r="3" spans="1:8" x14ac:dyDescent="0.25">
      <c r="A3" s="7"/>
      <c r="B3" s="7"/>
      <c r="C3" s="8"/>
      <c r="D3" s="9"/>
      <c r="E3" s="7"/>
      <c r="F3" s="7"/>
      <c r="G3" s="7"/>
      <c r="H3" s="9"/>
    </row>
    <row r="4" spans="1:8" x14ac:dyDescent="0.25">
      <c r="A4" s="7"/>
      <c r="B4" s="7"/>
      <c r="C4" s="8"/>
      <c r="D4" s="9"/>
      <c r="E4" s="7"/>
      <c r="F4" s="7"/>
      <c r="G4" s="7"/>
      <c r="H4" s="9"/>
    </row>
    <row r="5" spans="1:8" x14ac:dyDescent="0.25">
      <c r="A5" s="10">
        <f t="shared" ref="A5:H5" si="0">A3-A4</f>
        <v>0</v>
      </c>
      <c r="B5" s="11">
        <f t="shared" si="0"/>
        <v>0</v>
      </c>
      <c r="C5" s="11">
        <f t="shared" si="0"/>
        <v>0</v>
      </c>
      <c r="D5" s="12">
        <f t="shared" si="0"/>
        <v>0</v>
      </c>
      <c r="E5" s="13">
        <f t="shared" si="0"/>
        <v>0</v>
      </c>
      <c r="F5" s="11">
        <f t="shared" si="0"/>
        <v>0</v>
      </c>
      <c r="G5" s="11">
        <f t="shared" si="0"/>
        <v>0</v>
      </c>
      <c r="H5" s="12">
        <f t="shared" si="0"/>
        <v>0</v>
      </c>
    </row>
    <row r="6" spans="1:8" x14ac:dyDescent="0.25">
      <c r="A6" s="14">
        <v>16230</v>
      </c>
      <c r="B6" s="15">
        <v>11440</v>
      </c>
      <c r="C6" s="14">
        <v>16230</v>
      </c>
      <c r="D6" s="15">
        <v>11440</v>
      </c>
      <c r="E6" s="14">
        <v>16230</v>
      </c>
      <c r="F6" s="15">
        <v>11440</v>
      </c>
      <c r="G6" s="14">
        <v>16230</v>
      </c>
      <c r="H6" s="15">
        <v>11440</v>
      </c>
    </row>
    <row r="7" spans="1:8" x14ac:dyDescent="0.25">
      <c r="A7" s="14">
        <f t="shared" ref="A7:H7" si="1">A5*A6</f>
        <v>0</v>
      </c>
      <c r="B7" s="16">
        <f t="shared" si="1"/>
        <v>0</v>
      </c>
      <c r="C7" s="16">
        <f t="shared" si="1"/>
        <v>0</v>
      </c>
      <c r="D7" s="15">
        <f t="shared" si="1"/>
        <v>0</v>
      </c>
      <c r="E7" s="14">
        <f t="shared" si="1"/>
        <v>0</v>
      </c>
      <c r="F7" s="16">
        <f t="shared" si="1"/>
        <v>0</v>
      </c>
      <c r="G7" s="16">
        <f t="shared" si="1"/>
        <v>0</v>
      </c>
      <c r="H7" s="15">
        <f t="shared" si="1"/>
        <v>0</v>
      </c>
    </row>
    <row r="8" spans="1:8" ht="15.75" thickBot="1" x14ac:dyDescent="0.3">
      <c r="A8" s="17">
        <f>SUM(A7:B7)</f>
        <v>0</v>
      </c>
      <c r="B8" s="18"/>
      <c r="C8" s="19">
        <f>SUM(C7:D7)</f>
        <v>0</v>
      </c>
      <c r="D8" s="20"/>
      <c r="E8" s="17">
        <f>SUM(E7:F7)</f>
        <v>0</v>
      </c>
      <c r="F8" s="18"/>
      <c r="G8" s="19">
        <f>SUM(G7:H7)</f>
        <v>0</v>
      </c>
      <c r="H8" s="20"/>
    </row>
    <row r="9" spans="1:8" ht="15.75" thickBot="1" x14ac:dyDescent="0.3">
      <c r="A9" s="21">
        <f>SUM(A8:D8)</f>
        <v>0</v>
      </c>
      <c r="B9" s="22"/>
      <c r="C9" s="22"/>
      <c r="D9" s="23"/>
      <c r="E9" s="21">
        <f>SUM(E8:H8)</f>
        <v>0</v>
      </c>
      <c r="F9" s="22"/>
      <c r="G9" s="22"/>
      <c r="H9" s="23"/>
    </row>
    <row r="10" spans="1:8" x14ac:dyDescent="0.25">
      <c r="A10" s="24" t="s">
        <v>3</v>
      </c>
      <c r="B10" s="25"/>
      <c r="C10" s="25"/>
      <c r="D10" s="26"/>
      <c r="E10" s="4" t="s">
        <v>2</v>
      </c>
      <c r="F10" s="5"/>
      <c r="G10" s="5"/>
      <c r="H10" s="6"/>
    </row>
    <row r="11" spans="1:8" x14ac:dyDescent="0.25">
      <c r="A11" s="27"/>
      <c r="B11" s="27"/>
      <c r="C11" s="27"/>
      <c r="D11" s="28"/>
      <c r="E11" s="27"/>
      <c r="F11" s="27"/>
      <c r="G11" s="27"/>
      <c r="H11" s="28"/>
    </row>
    <row r="12" spans="1:8" x14ac:dyDescent="0.25">
      <c r="A12" s="27"/>
      <c r="B12" s="27"/>
      <c r="C12" s="27"/>
      <c r="D12" s="28"/>
      <c r="E12" s="27"/>
      <c r="F12" s="27"/>
      <c r="G12" s="27"/>
      <c r="H12" s="28"/>
    </row>
    <row r="13" spans="1:8" x14ac:dyDescent="0.25">
      <c r="A13" s="29">
        <f>A11-A12</f>
        <v>0</v>
      </c>
      <c r="B13" s="30">
        <f t="shared" ref="B13" si="2">B11-B12</f>
        <v>0</v>
      </c>
      <c r="C13" s="30">
        <f>C11-C12</f>
        <v>0</v>
      </c>
      <c r="D13" s="30">
        <f t="shared" ref="D13:H13" si="3">D11-D12</f>
        <v>0</v>
      </c>
      <c r="E13" s="30">
        <f t="shared" si="3"/>
        <v>0</v>
      </c>
      <c r="F13" s="30">
        <f t="shared" si="3"/>
        <v>0</v>
      </c>
      <c r="G13" s="30">
        <f t="shared" si="3"/>
        <v>0</v>
      </c>
      <c r="H13" s="31">
        <f t="shared" si="3"/>
        <v>0</v>
      </c>
    </row>
    <row r="14" spans="1:8" x14ac:dyDescent="0.25">
      <c r="A14" s="14">
        <f>A13*A6</f>
        <v>0</v>
      </c>
      <c r="B14" s="16">
        <f>B13*B6</f>
        <v>0</v>
      </c>
      <c r="C14" s="16">
        <f t="shared" ref="C14:H14" si="4">C13*C6</f>
        <v>0</v>
      </c>
      <c r="D14" s="16">
        <f t="shared" si="4"/>
        <v>0</v>
      </c>
      <c r="E14" s="16">
        <f t="shared" si="4"/>
        <v>0</v>
      </c>
      <c r="F14" s="16">
        <f t="shared" si="4"/>
        <v>0</v>
      </c>
      <c r="G14" s="16">
        <f t="shared" si="4"/>
        <v>0</v>
      </c>
      <c r="H14" s="15">
        <f t="shared" si="4"/>
        <v>0</v>
      </c>
    </row>
    <row r="15" spans="1:8" ht="15.75" thickBot="1" x14ac:dyDescent="0.3">
      <c r="A15" s="17">
        <f>SUM(A14:B14)</f>
        <v>0</v>
      </c>
      <c r="B15" s="18"/>
      <c r="C15" s="19">
        <f>SUM(C14:D14)</f>
        <v>0</v>
      </c>
      <c r="D15" s="18"/>
      <c r="E15" s="19">
        <f>SUM(E14:F14)</f>
        <v>0</v>
      </c>
      <c r="F15" s="18"/>
      <c r="G15" s="19">
        <f>SUM(G14:H14)</f>
        <v>0</v>
      </c>
      <c r="H15" s="20"/>
    </row>
    <row r="16" spans="1:8" ht="15.75" thickBot="1" x14ac:dyDescent="0.3">
      <c r="A16" s="21">
        <f>SUM(A15:D15)</f>
        <v>0</v>
      </c>
      <c r="B16" s="22"/>
      <c r="C16" s="22"/>
      <c r="D16" s="32"/>
      <c r="E16" s="33">
        <f>SUM(E15:H15)</f>
        <v>0</v>
      </c>
      <c r="F16" s="22"/>
      <c r="G16" s="22"/>
      <c r="H16" s="23"/>
    </row>
    <row r="17" spans="1:8" x14ac:dyDescent="0.25">
      <c r="A17" s="4" t="s">
        <v>4</v>
      </c>
      <c r="B17" s="34"/>
      <c r="C17" s="35" t="s">
        <v>5</v>
      </c>
      <c r="D17" s="34"/>
      <c r="E17" s="35" t="s">
        <v>6</v>
      </c>
      <c r="F17" s="5"/>
      <c r="G17" s="5"/>
      <c r="H17" s="6"/>
    </row>
    <row r="18" spans="1:8" x14ac:dyDescent="0.25">
      <c r="A18" s="36" t="s">
        <v>7</v>
      </c>
      <c r="B18" s="37">
        <f>B5+D5+F5+H5</f>
        <v>0</v>
      </c>
      <c r="C18" s="38" t="s">
        <v>7</v>
      </c>
      <c r="D18" s="39">
        <f>B13+D13+F13+H13</f>
        <v>0</v>
      </c>
      <c r="E18" s="38" t="s">
        <v>7</v>
      </c>
      <c r="F18" s="40">
        <f>B18-D18</f>
        <v>0</v>
      </c>
      <c r="G18" s="41">
        <f>F18*B6</f>
        <v>0</v>
      </c>
      <c r="H18" s="42">
        <f>SUM(G18:G19)</f>
        <v>0</v>
      </c>
    </row>
    <row r="19" spans="1:8" ht="15.75" thickBot="1" x14ac:dyDescent="0.3">
      <c r="A19" s="43" t="s">
        <v>8</v>
      </c>
      <c r="B19" s="44">
        <f>A5+C5+E5+G5</f>
        <v>0</v>
      </c>
      <c r="C19" s="45" t="s">
        <v>8</v>
      </c>
      <c r="D19" s="46">
        <f>A13+C13+E13+G13</f>
        <v>0</v>
      </c>
      <c r="E19" s="45" t="s">
        <v>8</v>
      </c>
      <c r="F19" s="47">
        <f>B19-D19</f>
        <v>0</v>
      </c>
      <c r="G19" s="48">
        <f>F19*A6</f>
        <v>0</v>
      </c>
      <c r="H19" s="49"/>
    </row>
    <row r="20" spans="1:8" ht="15.75" thickBot="1" x14ac:dyDescent="0.3">
      <c r="A20" s="50"/>
      <c r="B20" s="51"/>
      <c r="C20" s="51"/>
      <c r="D20" s="51"/>
      <c r="E20" s="51"/>
      <c r="F20" s="51"/>
      <c r="G20" s="51"/>
      <c r="H20" s="51"/>
    </row>
    <row r="21" spans="1:8" ht="15.75" thickBot="1" x14ac:dyDescent="0.3">
      <c r="A21" s="52" t="s">
        <v>9</v>
      </c>
      <c r="B21" s="53"/>
      <c r="C21" s="52" t="s">
        <v>9</v>
      </c>
      <c r="D21" s="53"/>
      <c r="E21" s="52" t="s">
        <v>10</v>
      </c>
      <c r="F21" s="54"/>
      <c r="G21" s="54"/>
      <c r="H21" s="53"/>
    </row>
    <row r="22" spans="1:8" ht="15.75" thickBot="1" x14ac:dyDescent="0.3">
      <c r="A22" s="55" t="s">
        <v>7</v>
      </c>
      <c r="B22" s="56">
        <f>B18*B6</f>
        <v>0</v>
      </c>
      <c r="C22" s="57" t="s">
        <v>7</v>
      </c>
      <c r="D22" s="58">
        <f>D18*D6</f>
        <v>0</v>
      </c>
      <c r="E22" s="52" t="s">
        <v>11</v>
      </c>
      <c r="F22" s="53"/>
      <c r="G22" s="52" t="s">
        <v>12</v>
      </c>
      <c r="H22" s="53"/>
    </row>
    <row r="23" spans="1:8" x14ac:dyDescent="0.25">
      <c r="A23" s="59" t="s">
        <v>8</v>
      </c>
      <c r="B23" s="60">
        <f>B19*A6</f>
        <v>0</v>
      </c>
      <c r="C23" s="61" t="s">
        <v>8</v>
      </c>
      <c r="D23" s="62">
        <f>D19*C6</f>
        <v>0</v>
      </c>
      <c r="E23" s="63"/>
      <c r="F23" s="64"/>
      <c r="G23" s="65"/>
      <c r="H23" s="66"/>
    </row>
    <row r="24" spans="1:8" ht="15.75" thickBot="1" x14ac:dyDescent="0.3">
      <c r="A24" s="67" t="s">
        <v>13</v>
      </c>
      <c r="B24" s="68">
        <f>B22+B23</f>
        <v>0</v>
      </c>
      <c r="C24" s="69" t="s">
        <v>13</v>
      </c>
      <c r="D24" s="70">
        <f>SUM(D22:D23)</f>
        <v>0</v>
      </c>
      <c r="E24" s="71"/>
      <c r="F24" s="72"/>
      <c r="H24" s="73"/>
    </row>
    <row r="25" spans="1:8" ht="15.75" thickBot="1" x14ac:dyDescent="0.3">
      <c r="A25" s="74" t="s">
        <v>14</v>
      </c>
      <c r="B25" s="75"/>
      <c r="C25" s="76">
        <f>F40+H40</f>
        <v>0</v>
      </c>
      <c r="D25" s="77"/>
      <c r="E25" s="78"/>
      <c r="F25" s="72"/>
      <c r="G25" s="79"/>
      <c r="H25" s="73"/>
    </row>
    <row r="26" spans="1:8" ht="15.75" x14ac:dyDescent="0.25">
      <c r="A26" s="80" t="s">
        <v>15</v>
      </c>
      <c r="B26" s="81"/>
      <c r="C26" s="81"/>
      <c r="D26" s="82"/>
      <c r="E26" s="83"/>
      <c r="F26" s="72"/>
      <c r="G26" s="84"/>
      <c r="H26" s="73"/>
    </row>
    <row r="27" spans="1:8" ht="16.5" thickBot="1" x14ac:dyDescent="0.3">
      <c r="A27" s="85">
        <f>B24+C25</f>
        <v>0</v>
      </c>
      <c r="B27" s="86"/>
      <c r="C27" s="86"/>
      <c r="D27" s="87"/>
      <c r="E27" s="88"/>
      <c r="F27" s="89"/>
      <c r="G27" s="83"/>
      <c r="H27" s="90"/>
    </row>
    <row r="28" spans="1:8" ht="15.75" thickBot="1" x14ac:dyDescent="0.3">
      <c r="A28" s="91" t="s">
        <v>16</v>
      </c>
      <c r="B28" s="92"/>
      <c r="C28" s="93" t="s">
        <v>17</v>
      </c>
      <c r="D28" s="94"/>
      <c r="E28" s="95"/>
      <c r="F28" s="89"/>
      <c r="G28" s="83"/>
      <c r="H28" s="90"/>
    </row>
    <row r="29" spans="1:8" ht="15.75" thickBot="1" x14ac:dyDescent="0.3">
      <c r="A29" s="96"/>
      <c r="B29" s="97"/>
      <c r="C29" s="98"/>
      <c r="D29" s="98"/>
      <c r="E29" s="99"/>
      <c r="F29" s="100"/>
      <c r="G29" s="101"/>
      <c r="H29" s="102"/>
    </row>
    <row r="30" spans="1:8" ht="15.75" thickBot="1" x14ac:dyDescent="0.3">
      <c r="A30" s="103"/>
      <c r="B30" s="104"/>
      <c r="C30" s="105"/>
      <c r="D30" s="105"/>
      <c r="E30" s="106" t="s">
        <v>13</v>
      </c>
      <c r="F30" s="107">
        <f>SUM(F23:F29)</f>
        <v>0</v>
      </c>
      <c r="G30" s="108" t="s">
        <v>18</v>
      </c>
      <c r="H30" s="109">
        <f>SUM(H23:H29)</f>
        <v>0</v>
      </c>
    </row>
    <row r="31" spans="1:8" ht="15.75" thickBot="1" x14ac:dyDescent="0.3">
      <c r="A31" s="110"/>
      <c r="B31" s="111"/>
      <c r="C31" s="112"/>
      <c r="D31" s="112"/>
      <c r="E31" s="113" t="s">
        <v>19</v>
      </c>
      <c r="F31" s="114"/>
      <c r="G31" s="114"/>
      <c r="H31" s="115"/>
    </row>
    <row r="32" spans="1:8" x14ac:dyDescent="0.25">
      <c r="A32" s="59"/>
      <c r="B32" s="116"/>
      <c r="C32" s="105"/>
      <c r="D32" s="112"/>
      <c r="E32" s="112"/>
      <c r="F32" s="112"/>
      <c r="G32" s="117"/>
      <c r="H32" s="118"/>
    </row>
    <row r="33" spans="1:8" x14ac:dyDescent="0.25">
      <c r="A33" s="59"/>
      <c r="B33" s="119"/>
      <c r="C33" s="105"/>
      <c r="D33" s="105"/>
      <c r="E33" s="112"/>
      <c r="F33" s="112"/>
      <c r="G33" s="120"/>
      <c r="H33" s="105"/>
    </row>
    <row r="34" spans="1:8" x14ac:dyDescent="0.25">
      <c r="A34" s="59"/>
      <c r="B34" s="121"/>
      <c r="C34" s="105"/>
      <c r="D34" s="105"/>
      <c r="E34" s="122"/>
      <c r="F34" s="105"/>
      <c r="G34" s="123"/>
      <c r="H34" s="105"/>
    </row>
    <row r="35" spans="1:8" x14ac:dyDescent="0.25">
      <c r="A35" s="124"/>
      <c r="B35" s="125"/>
      <c r="C35" s="105"/>
      <c r="D35" s="105"/>
      <c r="E35" s="126"/>
      <c r="F35" s="105"/>
      <c r="G35" s="117"/>
      <c r="H35" s="112"/>
    </row>
    <row r="36" spans="1:8" ht="15.75" thickBot="1" x14ac:dyDescent="0.3">
      <c r="A36" s="124"/>
      <c r="B36" s="125"/>
      <c r="C36" s="112"/>
      <c r="D36" s="127"/>
      <c r="E36" s="112"/>
      <c r="F36" s="105"/>
      <c r="G36" s="128"/>
      <c r="H36" s="129"/>
    </row>
    <row r="37" spans="1:8" ht="15.75" thickBot="1" x14ac:dyDescent="0.3">
      <c r="A37" s="130" t="s">
        <v>15</v>
      </c>
      <c r="B37" s="131">
        <f>SUM(B30:B36)</f>
        <v>0</v>
      </c>
      <c r="C37" s="132">
        <f>SUM(C30:C36)</f>
        <v>0</v>
      </c>
      <c r="D37" s="133">
        <f>SUM(D30:D36)</f>
        <v>0</v>
      </c>
      <c r="E37" s="126"/>
      <c r="F37" s="105"/>
      <c r="G37" s="134"/>
      <c r="H37" s="112"/>
    </row>
    <row r="38" spans="1:8" ht="15.75" thickBot="1" x14ac:dyDescent="0.3">
      <c r="A38" s="135"/>
      <c r="B38" s="136">
        <f>A27-B41</f>
        <v>0</v>
      </c>
      <c r="C38" s="137"/>
      <c r="D38" s="138"/>
      <c r="E38" s="139"/>
      <c r="F38" s="105"/>
      <c r="G38" s="140"/>
      <c r="H38" s="112"/>
    </row>
    <row r="39" spans="1:8" ht="15.75" thickBot="1" x14ac:dyDescent="0.3">
      <c r="A39" s="141" t="s">
        <v>20</v>
      </c>
      <c r="B39" s="142">
        <f>C37+D37</f>
        <v>0</v>
      </c>
      <c r="C39" s="143"/>
      <c r="D39" s="143"/>
      <c r="E39" s="144"/>
      <c r="F39" s="145"/>
      <c r="G39" s="146"/>
      <c r="H39" s="147"/>
    </row>
    <row r="40" spans="1:8" ht="15.75" thickBot="1" x14ac:dyDescent="0.3">
      <c r="A40" s="148" t="s">
        <v>21</v>
      </c>
      <c r="B40" s="149">
        <f>F30+H30</f>
        <v>0</v>
      </c>
      <c r="C40" s="150"/>
      <c r="D40" s="150"/>
      <c r="E40" s="151" t="s">
        <v>18</v>
      </c>
      <c r="F40" s="152">
        <f>SUM(F32:F39)</f>
        <v>0</v>
      </c>
      <c r="G40" s="153" t="s">
        <v>22</v>
      </c>
      <c r="H40" s="152">
        <f>SUM(H32:H39)</f>
        <v>0</v>
      </c>
    </row>
    <row r="41" spans="1:8" ht="15.75" thickBot="1" x14ac:dyDescent="0.3">
      <c r="A41" s="154" t="s">
        <v>23</v>
      </c>
      <c r="B41" s="155">
        <f>B39+B40</f>
        <v>0</v>
      </c>
      <c r="C41" s="156" t="s">
        <v>24</v>
      </c>
      <c r="D41" s="157"/>
      <c r="E41" s="158" t="s">
        <v>25</v>
      </c>
      <c r="F41" s="159"/>
      <c r="G41" s="159"/>
      <c r="H41" s="160"/>
    </row>
    <row r="42" spans="1:8" ht="15.75" thickBot="1" x14ac:dyDescent="0.3">
      <c r="A42" s="161"/>
      <c r="B42" s="162"/>
      <c r="C42" s="163"/>
      <c r="D42" s="164"/>
      <c r="E42" s="165"/>
      <c r="F42" s="166"/>
      <c r="G42" s="167"/>
      <c r="H42" s="168"/>
    </row>
    <row r="43" spans="1:8" ht="15.75" thickBot="1" x14ac:dyDescent="0.3">
      <c r="A43" s="169" t="s">
        <v>26</v>
      </c>
      <c r="B43" s="170"/>
      <c r="C43" s="171"/>
      <c r="D43" s="172"/>
      <c r="E43" s="173"/>
      <c r="F43" s="174"/>
      <c r="G43" s="175"/>
      <c r="H43" s="176"/>
    </row>
    <row r="44" spans="1:8" ht="15.75" x14ac:dyDescent="0.25">
      <c r="A44" s="177"/>
      <c r="B44" s="178"/>
      <c r="C44" s="179"/>
      <c r="D44" s="180"/>
      <c r="E44" s="181"/>
      <c r="F44" s="182"/>
      <c r="G44" s="183"/>
      <c r="H44" s="184"/>
    </row>
    <row r="45" spans="1:8" x14ac:dyDescent="0.25">
      <c r="A45" s="185"/>
      <c r="B45" s="186"/>
      <c r="C45" s="187"/>
      <c r="D45" s="188"/>
      <c r="E45" s="189"/>
      <c r="F45" s="190"/>
      <c r="G45" s="183"/>
      <c r="H45" s="184"/>
    </row>
    <row r="46" spans="1:8" ht="15.75" thickBot="1" x14ac:dyDescent="0.3">
      <c r="A46" s="191"/>
      <c r="B46" s="192"/>
      <c r="C46" s="193"/>
      <c r="D46" s="194"/>
      <c r="E46" s="183"/>
      <c r="F46" s="184"/>
      <c r="G46" s="183"/>
      <c r="H46" s="184"/>
    </row>
    <row r="47" spans="1:8" ht="15.75" thickBot="1" x14ac:dyDescent="0.3">
      <c r="A47" s="195"/>
      <c r="B47" s="196"/>
      <c r="C47" s="196"/>
      <c r="D47" s="197"/>
      <c r="E47" s="198"/>
      <c r="F47" s="199"/>
      <c r="G47" s="200"/>
      <c r="H47" s="201"/>
    </row>
    <row r="48" spans="1:8" x14ac:dyDescent="0.25">
      <c r="A48" s="202" t="s">
        <v>27</v>
      </c>
      <c r="B48" s="203"/>
      <c r="C48" s="204">
        <f>B37+B39-G48</f>
        <v>0</v>
      </c>
      <c r="D48" s="205"/>
      <c r="E48" s="206" t="s">
        <v>28</v>
      </c>
      <c r="F48" s="207"/>
      <c r="G48" s="208">
        <f>SUM(G42:H47)</f>
        <v>0</v>
      </c>
      <c r="H48" s="209"/>
    </row>
    <row r="49" spans="1:8" ht="15.75" thickBot="1" x14ac:dyDescent="0.3">
      <c r="A49" s="210"/>
      <c r="B49" s="211"/>
      <c r="C49" s="212"/>
      <c r="D49" s="213"/>
      <c r="E49" s="214"/>
      <c r="F49" s="215"/>
      <c r="G49" s="216"/>
      <c r="H49" s="217"/>
    </row>
  </sheetData>
  <mergeCells count="56">
    <mergeCell ref="A47:D47"/>
    <mergeCell ref="E47:F47"/>
    <mergeCell ref="G47:H47"/>
    <mergeCell ref="A48:B49"/>
    <mergeCell ref="C48:D49"/>
    <mergeCell ref="E48:F49"/>
    <mergeCell ref="G48:H49"/>
    <mergeCell ref="C45:D45"/>
    <mergeCell ref="E45:F45"/>
    <mergeCell ref="G45:H45"/>
    <mergeCell ref="C46:D46"/>
    <mergeCell ref="E46:F46"/>
    <mergeCell ref="G46:H46"/>
    <mergeCell ref="E42:F42"/>
    <mergeCell ref="G42:H42"/>
    <mergeCell ref="A43:B43"/>
    <mergeCell ref="C43:D44"/>
    <mergeCell ref="E43:F43"/>
    <mergeCell ref="G43:H43"/>
    <mergeCell ref="E44:F44"/>
    <mergeCell ref="G44:H44"/>
    <mergeCell ref="A26:D26"/>
    <mergeCell ref="A27:D27"/>
    <mergeCell ref="A28:B29"/>
    <mergeCell ref="C28:D28"/>
    <mergeCell ref="E31:H31"/>
    <mergeCell ref="C41:D41"/>
    <mergeCell ref="E41:H41"/>
    <mergeCell ref="A21:B21"/>
    <mergeCell ref="C21:D21"/>
    <mergeCell ref="E21:H21"/>
    <mergeCell ref="E22:F22"/>
    <mergeCell ref="G22:H22"/>
    <mergeCell ref="A25:B25"/>
    <mergeCell ref="C25:D25"/>
    <mergeCell ref="A16:D16"/>
    <mergeCell ref="E16:H16"/>
    <mergeCell ref="A17:B17"/>
    <mergeCell ref="C17:D17"/>
    <mergeCell ref="E17:H17"/>
    <mergeCell ref="H18:H19"/>
    <mergeCell ref="A9:D9"/>
    <mergeCell ref="E9:H9"/>
    <mergeCell ref="A10:D10"/>
    <mergeCell ref="E10:H10"/>
    <mergeCell ref="A15:B15"/>
    <mergeCell ref="C15:D15"/>
    <mergeCell ref="E15:F15"/>
    <mergeCell ref="G15:H15"/>
    <mergeCell ref="A1:H1"/>
    <mergeCell ref="A2:D2"/>
    <mergeCell ref="E2:H2"/>
    <mergeCell ref="A8:B8"/>
    <mergeCell ref="C8:D8"/>
    <mergeCell ref="E8:F8"/>
    <mergeCell ref="G8:H8"/>
  </mergeCells>
  <pageMargins left="0" right="0" top="0" bottom="0" header="0.31496062992125984" footer="0.31496062992125984"/>
  <pageSetup paperSize="11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E.D.S. SERVIGUAMO</dc:creator>
  <cp:lastModifiedBy>E.D.S. SERVIGUAMO</cp:lastModifiedBy>
  <dcterms:created xsi:type="dcterms:W3CDTF">2026-07-20T01:33:33Z</dcterms:created>
  <dcterms:modified xsi:type="dcterms:W3CDTF">2026-07-20T01:36:56Z</dcterms:modified>
</cp:coreProperties>
</file>